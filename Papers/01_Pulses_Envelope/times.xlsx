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tesse\Desktop\Files\Dropbox\0_Thesis\Papers\01_Pulses_Envelope\"/>
    </mc:Choice>
  </mc:AlternateContent>
  <xr:revisionPtr revIDLastSave="0" documentId="13_ncr:1_{520E8D25-FD41-4A84-BDA1-00B7BB0F9D1D}" xr6:coauthVersionLast="45" xr6:coauthVersionMax="45" xr10:uidLastSave="{00000000-0000-0000-0000-000000000000}"/>
  <bookViews>
    <workbookView xWindow="0" yWindow="0" windowWidth="23040" windowHeight="123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D12" i="1"/>
  <c r="E12" i="1"/>
  <c r="B12" i="1"/>
  <c r="C23" i="1" l="1"/>
  <c r="D23" i="1"/>
  <c r="E23" i="1"/>
  <c r="B23" i="1"/>
  <c r="D11" i="1"/>
  <c r="E11" i="1"/>
  <c r="C11" i="1"/>
  <c r="B11" i="1"/>
</calcChain>
</file>

<file path=xl/sharedStrings.xml><?xml version="1.0" encoding="utf-8"?>
<sst xmlns="http://schemas.openxmlformats.org/spreadsheetml/2006/main" count="36" uniqueCount="20">
  <si>
    <t>Error</t>
  </si>
  <si>
    <t>Present Work</t>
  </si>
  <si>
    <t>Hilbert</t>
  </si>
  <si>
    <t>Lowpass</t>
  </si>
  <si>
    <t>Smoothing</t>
  </si>
  <si>
    <t>TIME</t>
  </si>
  <si>
    <t>bend</t>
  </si>
  <si>
    <t>alto</t>
  </si>
  <si>
    <t xml:space="preserve">This work: lms </t>
  </si>
  <si>
    <t xml:space="preserve"> time</t>
  </si>
  <si>
    <t xml:space="preserve">Smoothing: lms </t>
  </si>
  <si>
    <t xml:space="preserve">Lowpass:   lms </t>
  </si>
  <si>
    <t xml:space="preserve">Hilbert:   lms </t>
  </si>
  <si>
    <t>piano</t>
  </si>
  <si>
    <t>brass</t>
  </si>
  <si>
    <t>soprano</t>
  </si>
  <si>
    <t>spoken_voice</t>
  </si>
  <si>
    <t>tom</t>
  </si>
  <si>
    <t>sinusoid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</si>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</sst>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B12" sqref="B12:E12"/>
    </sheetView>
  </sheetViews>
  <sheetFormatPr defaultRowHeight="14.4" x14ac:dyDescent="0.3"/>
  <cols>
    <col min="1" max="1" width="12.5546875" style="1" bestFit="1" customWidth="1"/>
    <col min="2" max="2" width="12.33203125" bestFit="1" customWidth="1"/>
    <col min="3" max="3" width="12" bestFit="1" customWidth="1"/>
    <col min="4" max="4" width="10" bestFit="1" customWidth="1"/>
    <col min="5" max="5" width="12" bestFit="1" customWidth="1"/>
    <col min="8" max="8" width="14" bestFit="1" customWidth="1"/>
    <col min="9" max="9" width="12" bestFit="1" customWidth="1"/>
    <col min="10" max="10" width="5.109375" bestFit="1" customWidth="1"/>
    <col min="11" max="11" width="10" bestFit="1" customWidth="1"/>
  </cols>
  <sheetData>
    <row r="1" spans="1:10" x14ac:dyDescent="0.3">
      <c r="A1" s="3" t="s">
        <v>0</v>
      </c>
      <c r="B1" s="3"/>
      <c r="C1" s="3"/>
      <c r="D1" s="3"/>
      <c r="E1" s="3"/>
      <c r="H1" t="s">
        <v>8</v>
      </c>
      <c r="J1" t="s">
        <v>9</v>
      </c>
    </row>
    <row r="2" spans="1:10" x14ac:dyDescent="0.3">
      <c r="B2" s="1" t="s">
        <v>1</v>
      </c>
      <c r="C2" s="1" t="s">
        <v>4</v>
      </c>
      <c r="D2" s="1" t="s">
        <v>3</v>
      </c>
      <c r="E2" s="1" t="s">
        <v>2</v>
      </c>
      <c r="H2" t="s">
        <v>10</v>
      </c>
      <c r="J2" t="s">
        <v>9</v>
      </c>
    </row>
    <row r="3" spans="1:10" x14ac:dyDescent="0.3">
      <c r="A3" s="1" t="s">
        <v>7</v>
      </c>
      <c r="B3" s="2">
        <v>7.33915440676495E-2</v>
      </c>
      <c r="C3" s="2">
        <v>8.2542934047742503E-2</v>
      </c>
      <c r="D3" s="2">
        <v>8.3392571835428794E-2</v>
      </c>
      <c r="E3" s="2">
        <v>8.2446067231510406E-2</v>
      </c>
      <c r="H3" t="s">
        <v>11</v>
      </c>
      <c r="J3" t="s">
        <v>9</v>
      </c>
    </row>
    <row r="4" spans="1:10" x14ac:dyDescent="0.3">
      <c r="A4" s="1" t="s">
        <v>6</v>
      </c>
      <c r="B4" s="2">
        <v>8.9285338109774993E-3</v>
      </c>
      <c r="C4" s="2">
        <v>1.45512531497976E-2</v>
      </c>
      <c r="D4" s="2">
        <v>1.48455426660475E-2</v>
      </c>
      <c r="E4" s="2">
        <v>1.40369041297406E-2</v>
      </c>
      <c r="H4" t="s">
        <v>12</v>
      </c>
      <c r="J4" t="s">
        <v>9</v>
      </c>
    </row>
    <row r="5" spans="1:10" x14ac:dyDescent="0.3">
      <c r="A5" s="1" t="s">
        <v>13</v>
      </c>
      <c r="B5" s="2">
        <v>5.2843419174994103E-3</v>
      </c>
      <c r="C5" s="2">
        <v>5.7232707355290699E-3</v>
      </c>
      <c r="D5" s="2">
        <v>5.7692509276214199E-3</v>
      </c>
      <c r="E5" s="2">
        <v>5.4991092251814198E-3</v>
      </c>
    </row>
    <row r="6" spans="1:10" x14ac:dyDescent="0.3">
      <c r="A6" s="1" t="s">
        <v>14</v>
      </c>
      <c r="B6" s="2">
        <v>2.3650266073323899E-2</v>
      </c>
      <c r="C6" s="2">
        <v>3.5015504478023901E-2</v>
      </c>
      <c r="D6" s="2">
        <v>3.5081544440455498E-2</v>
      </c>
      <c r="E6" s="2">
        <v>3.2647033778727602E-2</v>
      </c>
    </row>
    <row r="7" spans="1:10" x14ac:dyDescent="0.3">
      <c r="A7" s="1" t="s">
        <v>15</v>
      </c>
      <c r="B7" s="2">
        <v>4.16341805503345E-2</v>
      </c>
      <c r="C7" s="2">
        <v>6.5307034015041607E-2</v>
      </c>
      <c r="D7" s="2">
        <v>6.5214027049804293E-2</v>
      </c>
      <c r="E7" s="2">
        <v>6.4931584692191999E-2</v>
      </c>
    </row>
    <row r="8" spans="1:10" x14ac:dyDescent="0.3">
      <c r="A8" s="1" t="s">
        <v>16</v>
      </c>
      <c r="B8" s="2">
        <v>2.3969974331959298E-2</v>
      </c>
      <c r="C8" s="2">
        <v>3.6955231986726698E-2</v>
      </c>
      <c r="D8" s="2">
        <v>3.74453443832964E-2</v>
      </c>
      <c r="E8" s="2">
        <v>3.3856370391109898E-2</v>
      </c>
    </row>
    <row r="9" spans="1:10" x14ac:dyDescent="0.3">
      <c r="A9" s="1" t="s">
        <v>17</v>
      </c>
      <c r="B9" s="2">
        <v>3.2403805262081402E-3</v>
      </c>
      <c r="C9" s="2">
        <v>4.6495090400989801E-3</v>
      </c>
      <c r="D9" s="2">
        <v>5.1919549405654202E-3</v>
      </c>
      <c r="E9" s="2">
        <v>4.7380022256327502E-3</v>
      </c>
    </row>
    <row r="10" spans="1:10" x14ac:dyDescent="0.3">
      <c r="A10" s="1" t="s">
        <v>18</v>
      </c>
      <c r="B10" s="2">
        <v>0.11336081653055299</v>
      </c>
      <c r="C10" s="2">
        <v>0.193394681086795</v>
      </c>
      <c r="D10" s="2">
        <v>0.19542592034384401</v>
      </c>
      <c r="E10" s="2">
        <v>0.19067580210503601</v>
      </c>
    </row>
    <row r="11" spans="1:10" x14ac:dyDescent="0.3">
      <c r="A11" s="1" t="s">
        <v>19</v>
      </c>
      <c r="B11" s="2">
        <f>AVERAGE(B3:B10)</f>
        <v>3.6682504726063159E-2</v>
      </c>
      <c r="C11" s="2">
        <f>AVERAGE(C3:C10)</f>
        <v>5.4767427317469419E-2</v>
      </c>
      <c r="D11" s="2">
        <f t="shared" ref="D11:E11" si="0">AVERAGE(D3:D10)</f>
        <v>5.5295769573382912E-2</v>
      </c>
      <c r="E11" s="2">
        <f t="shared" si="0"/>
        <v>5.3603859222391331E-2</v>
      </c>
    </row>
    <row r="12" spans="1:10" x14ac:dyDescent="0.3">
      <c r="B12">
        <f>B11/MAX($B$11:$E$11)</f>
        <v>0.6633871814982496</v>
      </c>
      <c r="C12">
        <f t="shared" ref="C12:E12" si="1">C11/MAX($B$11:$E$11)</f>
        <v>0.99044515954855583</v>
      </c>
      <c r="D12">
        <f t="shared" si="1"/>
        <v>1</v>
      </c>
      <c r="E12">
        <f t="shared" si="1"/>
        <v>0.96940253541916532</v>
      </c>
    </row>
    <row r="13" spans="1:10" x14ac:dyDescent="0.3">
      <c r="A13" s="3" t="s">
        <v>5</v>
      </c>
      <c r="B13" s="3"/>
      <c r="C13" s="3"/>
      <c r="D13" s="3"/>
      <c r="E13" s="3"/>
    </row>
    <row r="14" spans="1:10" x14ac:dyDescent="0.3">
      <c r="B14" s="1" t="s">
        <v>1</v>
      </c>
      <c r="C14" s="1" t="s">
        <v>4</v>
      </c>
      <c r="D14" s="1" t="s">
        <v>3</v>
      </c>
      <c r="E14" s="1" t="s">
        <v>2</v>
      </c>
    </row>
    <row r="15" spans="1:10" x14ac:dyDescent="0.3">
      <c r="A15" s="1" t="s">
        <v>7</v>
      </c>
      <c r="B15" s="2">
        <v>8.3478000000001204E-3</v>
      </c>
      <c r="C15" s="2">
        <v>0.10057329999999901</v>
      </c>
      <c r="D15" s="2">
        <v>7.2720999999997798E-3</v>
      </c>
      <c r="E15" s="2">
        <v>1.1442900000000001E-2</v>
      </c>
    </row>
    <row r="16" spans="1:10" x14ac:dyDescent="0.3">
      <c r="A16" s="1" t="s">
        <v>6</v>
      </c>
      <c r="B16" s="2">
        <v>2.9602300000000002E-2</v>
      </c>
      <c r="C16" s="2">
        <v>0.22565449999999901</v>
      </c>
      <c r="D16" s="2">
        <v>1.1984299999999899E-2</v>
      </c>
      <c r="E16" s="2">
        <v>0.1309418</v>
      </c>
    </row>
    <row r="17" spans="1:5" x14ac:dyDescent="0.3">
      <c r="A17" s="1" t="s">
        <v>13</v>
      </c>
      <c r="B17" s="2">
        <v>3.3519999999999897E-2</v>
      </c>
      <c r="C17" s="2">
        <v>0.37374489999999899</v>
      </c>
      <c r="D17" s="2">
        <v>1.4046199999999801E-2</v>
      </c>
      <c r="E17" s="2">
        <v>4.2327799999999999E-2</v>
      </c>
    </row>
    <row r="18" spans="1:5" x14ac:dyDescent="0.3">
      <c r="A18" s="1" t="s">
        <v>14</v>
      </c>
      <c r="B18" s="2">
        <v>3.1682099999999797E-2</v>
      </c>
      <c r="C18" s="2">
        <v>0.29672119999999902</v>
      </c>
      <c r="D18" s="2">
        <v>1.06840999999999E-2</v>
      </c>
      <c r="E18" s="2">
        <v>4.4961900000000103E-2</v>
      </c>
    </row>
    <row r="19" spans="1:5" x14ac:dyDescent="0.3">
      <c r="A19" s="1" t="s">
        <v>15</v>
      </c>
      <c r="B19" s="2">
        <v>0.17666319999999899</v>
      </c>
      <c r="C19" s="2">
        <v>0.73483769999999904</v>
      </c>
      <c r="D19" s="2">
        <v>2.7141799999999799E-2</v>
      </c>
      <c r="E19" s="2">
        <v>0.56620440000000005</v>
      </c>
    </row>
    <row r="20" spans="1:5" x14ac:dyDescent="0.3">
      <c r="A20" s="1" t="s">
        <v>16</v>
      </c>
      <c r="B20" s="2">
        <v>1.43337999999999E-2</v>
      </c>
      <c r="C20" s="2">
        <v>0.105000699999999</v>
      </c>
      <c r="D20" s="2">
        <v>2.7543999999999299E-3</v>
      </c>
      <c r="E20" s="2">
        <v>3.8068100000000001E-2</v>
      </c>
    </row>
    <row r="21" spans="1:5" x14ac:dyDescent="0.3">
      <c r="A21" s="1" t="s">
        <v>17</v>
      </c>
      <c r="B21" s="2">
        <v>6.7664999999998898E-3</v>
      </c>
      <c r="C21" s="2">
        <v>8.4308400000000006E-2</v>
      </c>
      <c r="D21" s="2">
        <v>1.7850600000000001E-2</v>
      </c>
      <c r="E21" s="2">
        <v>2.60479999999998E-2</v>
      </c>
    </row>
    <row r="22" spans="1:5" x14ac:dyDescent="0.3">
      <c r="A22" s="1" t="s">
        <v>18</v>
      </c>
      <c r="B22" s="2">
        <v>7.41729999999996E-3</v>
      </c>
      <c r="C22" s="2">
        <v>9.1261199999999904E-2</v>
      </c>
      <c r="D22" s="2">
        <v>4.8810999999999698E-3</v>
      </c>
      <c r="E22" s="2">
        <v>1.0851100000000001E-2</v>
      </c>
    </row>
    <row r="23" spans="1:5" x14ac:dyDescent="0.3">
      <c r="A23" s="1" t="s">
        <v>19</v>
      </c>
      <c r="B23" s="2">
        <f>AVERAGE(B15:B22)</f>
        <v>3.8541624999999823E-2</v>
      </c>
      <c r="C23" s="2">
        <f t="shared" ref="C23:E23" si="2">AVERAGE(C15:C22)</f>
        <v>0.25151273749999925</v>
      </c>
      <c r="D23" s="2">
        <f t="shared" si="2"/>
        <v>1.2076824999999885E-2</v>
      </c>
      <c r="E23" s="2">
        <f t="shared" si="2"/>
        <v>0.10885575</v>
      </c>
    </row>
  </sheetData>
  <mergeCells count="2">
    <mergeCell ref="A1:E1"/>
    <mergeCell ref="A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Tarjano</dc:creator>
  <cp:lastModifiedBy>Carlos Tarjano</cp:lastModifiedBy>
  <dcterms:created xsi:type="dcterms:W3CDTF">2015-06-05T18:17:20Z</dcterms:created>
  <dcterms:modified xsi:type="dcterms:W3CDTF">2020-12-01T14:29:33Z</dcterms:modified>
</cp:coreProperties>
</file>