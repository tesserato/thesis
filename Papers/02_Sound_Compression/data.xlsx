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sse\Desktop\Files\Dropbox\0_Thesis\Papers\02_Sound_Compression\"/>
    </mc:Choice>
  </mc:AlternateContent>
  <xr:revisionPtr revIDLastSave="0" documentId="13_ncr:40001_{C93DD8B6-F859-41C8-8629-2AB6C7F1BE3E}" xr6:coauthVersionLast="46" xr6:coauthVersionMax="46" xr10:uidLastSave="{00000000-0000-0000-0000-000000000000}"/>
  <bookViews>
    <workbookView xWindow="-108" yWindow="-108" windowWidth="23256" windowHeight="12576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6" i="1" l="1"/>
  <c r="AI13" i="1"/>
  <c r="AI4" i="1"/>
  <c r="AJ4" i="1"/>
  <c r="AK4" i="1"/>
  <c r="AL4" i="1"/>
  <c r="AI5" i="1"/>
  <c r="AJ5" i="1"/>
  <c r="AK5" i="1"/>
  <c r="AL5" i="1"/>
  <c r="AI6" i="1"/>
  <c r="AJ6" i="1"/>
  <c r="AK6" i="1"/>
  <c r="AL6" i="1"/>
  <c r="AI7" i="1"/>
  <c r="AJ7" i="1"/>
  <c r="AK7" i="1"/>
  <c r="AL7" i="1"/>
  <c r="AI8" i="1"/>
  <c r="AJ8" i="1"/>
  <c r="AK8" i="1"/>
  <c r="AL8" i="1"/>
  <c r="AI9" i="1"/>
  <c r="AJ9" i="1"/>
  <c r="AK9" i="1"/>
  <c r="AL9" i="1"/>
  <c r="AI10" i="1"/>
  <c r="AJ10" i="1"/>
  <c r="AK10" i="1"/>
  <c r="AL10" i="1"/>
  <c r="AI11" i="1"/>
  <c r="AJ11" i="1"/>
  <c r="AK11" i="1"/>
  <c r="AL11" i="1"/>
  <c r="AI12" i="1"/>
  <c r="AJ12" i="1"/>
  <c r="AK12" i="1"/>
  <c r="AL12" i="1"/>
  <c r="AJ13" i="1"/>
  <c r="AK13" i="1"/>
  <c r="AL13" i="1"/>
  <c r="AI14" i="1"/>
  <c r="AJ14" i="1"/>
  <c r="AK14" i="1"/>
  <c r="AL14" i="1"/>
  <c r="AI15" i="1"/>
  <c r="AJ15" i="1"/>
  <c r="AK15" i="1"/>
  <c r="AL15" i="1"/>
  <c r="AJ3" i="1"/>
  <c r="AJ17" i="1" s="1"/>
  <c r="AK3" i="1"/>
  <c r="AK17" i="1" s="1"/>
  <c r="AL3" i="1"/>
  <c r="AL17" i="1" s="1"/>
  <c r="AI3" i="1"/>
  <c r="AI16" i="1" s="1"/>
  <c r="AC16" i="1"/>
  <c r="AD16" i="1"/>
  <c r="AE16" i="1"/>
  <c r="AF16" i="1"/>
  <c r="AB16" i="1"/>
  <c r="I40" i="1"/>
  <c r="I41" i="1"/>
  <c r="I42" i="1"/>
  <c r="I43" i="1"/>
  <c r="I44" i="1"/>
  <c r="I45" i="1"/>
  <c r="I46" i="1"/>
  <c r="I47" i="1"/>
  <c r="I48" i="1"/>
  <c r="I49" i="1"/>
  <c r="I50" i="1"/>
  <c r="I51" i="1"/>
  <c r="I39" i="1"/>
  <c r="P17" i="1"/>
  <c r="Q17" i="1"/>
  <c r="R17" i="1"/>
  <c r="O17" i="1"/>
  <c r="I4" i="1"/>
  <c r="J4" i="1"/>
  <c r="K4" i="1"/>
  <c r="L4" i="1"/>
  <c r="I5" i="1"/>
  <c r="J5" i="1"/>
  <c r="K5" i="1"/>
  <c r="L5" i="1"/>
  <c r="I6" i="1"/>
  <c r="J6" i="1"/>
  <c r="K6" i="1"/>
  <c r="L6" i="1"/>
  <c r="I7" i="1"/>
  <c r="J7" i="1"/>
  <c r="K7" i="1"/>
  <c r="L7" i="1"/>
  <c r="I8" i="1"/>
  <c r="J8" i="1"/>
  <c r="K8" i="1"/>
  <c r="L8" i="1"/>
  <c r="I9" i="1"/>
  <c r="J9" i="1"/>
  <c r="K9" i="1"/>
  <c r="L9" i="1"/>
  <c r="I10" i="1"/>
  <c r="J10" i="1"/>
  <c r="K10" i="1"/>
  <c r="L10" i="1"/>
  <c r="I11" i="1"/>
  <c r="J11" i="1"/>
  <c r="K11" i="1"/>
  <c r="L11" i="1"/>
  <c r="I12" i="1"/>
  <c r="J12" i="1"/>
  <c r="K12" i="1"/>
  <c r="L12" i="1"/>
  <c r="I13" i="1"/>
  <c r="J13" i="1"/>
  <c r="K13" i="1"/>
  <c r="L13" i="1"/>
  <c r="I14" i="1"/>
  <c r="J14" i="1"/>
  <c r="K14" i="1"/>
  <c r="L14" i="1"/>
  <c r="I15" i="1"/>
  <c r="J15" i="1"/>
  <c r="K15" i="1"/>
  <c r="L15" i="1"/>
  <c r="J3" i="1"/>
  <c r="K3" i="1"/>
  <c r="L3" i="1"/>
  <c r="I3" i="1"/>
  <c r="B16" i="1"/>
  <c r="P16" i="1"/>
  <c r="Q16" i="1"/>
  <c r="R16" i="1"/>
  <c r="O16" i="1"/>
  <c r="D16" i="1"/>
  <c r="E16" i="1"/>
  <c r="F16" i="1"/>
  <c r="C16" i="1"/>
  <c r="AL16" i="1" l="1"/>
  <c r="AI17" i="1"/>
  <c r="AJ16" i="1"/>
  <c r="AK16" i="1"/>
  <c r="J16" i="1"/>
  <c r="I17" i="1"/>
  <c r="I16" i="1"/>
  <c r="K17" i="1"/>
  <c r="L17" i="1"/>
  <c r="K16" i="1"/>
  <c r="J17" i="1"/>
  <c r="L16" i="1"/>
</calcChain>
</file>

<file path=xl/sharedStrings.xml><?xml version="1.0" encoding="utf-8"?>
<sst xmlns="http://schemas.openxmlformats.org/spreadsheetml/2006/main" count="150" uniqueCount="29">
  <si>
    <t>cello</t>
  </si>
  <si>
    <t>doublebass</t>
  </si>
  <si>
    <t>flute</t>
  </si>
  <si>
    <t>frenchhorn</t>
  </si>
  <si>
    <t>mezzosoprano</t>
  </si>
  <si>
    <t>saxophone</t>
  </si>
  <si>
    <t>singerbass</t>
  </si>
  <si>
    <t>singerfemaleA</t>
  </si>
  <si>
    <t>singerfemaleB</t>
  </si>
  <si>
    <t>singermale</t>
  </si>
  <si>
    <t>sopranoA</t>
  </si>
  <si>
    <t>sopranoB</t>
  </si>
  <si>
    <t>violin</t>
  </si>
  <si>
    <t>Mean Squared Error</t>
  </si>
  <si>
    <t>Size (bytes)</t>
  </si>
  <si>
    <t>Sample</t>
  </si>
  <si>
    <t>Wav</t>
  </si>
  <si>
    <t>Present Work</t>
  </si>
  <si>
    <t>MP3</t>
  </si>
  <si>
    <t>ACC</t>
  </si>
  <si>
    <t>Opus</t>
  </si>
  <si>
    <t>STD</t>
  </si>
  <si>
    <t>Average</t>
  </si>
  <si>
    <t>Decoding time (Milliseconds)</t>
  </si>
  <si>
    <t>Duration</t>
  </si>
  <si>
    <t>Compression rate (% of the original size)</t>
  </si>
  <si>
    <t>Decoding time (% of original duration)</t>
  </si>
  <si>
    <t>Duration and enconding time (Milliseconds)</t>
  </si>
  <si>
    <t>Duration and decoding time (Milliseconds)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</si>
</sst>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8" formatCode="0.000"/>
    <numFmt numFmtId="169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168" fontId="1" fillId="0" borderId="0" xfId="0" applyNumberFormat="1" applyFont="1" applyAlignment="1">
      <alignment horizontal="center"/>
    </xf>
    <xf numFmtId="169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3"/>
  <sheetViews>
    <sheetView tabSelected="1" topLeftCell="Q1" workbookViewId="0">
      <selection activeCell="AB9" sqref="AB9"/>
    </sheetView>
  </sheetViews>
  <sheetFormatPr defaultRowHeight="14.4" x14ac:dyDescent="0.3"/>
  <cols>
    <col min="1" max="1" width="12.88671875" bestFit="1" customWidth="1"/>
    <col min="2" max="2" width="9.5546875" style="1" bestFit="1" customWidth="1"/>
    <col min="3" max="3" width="12.33203125" style="1" bestFit="1" customWidth="1"/>
    <col min="4" max="6" width="7.5546875" style="1" bestFit="1" customWidth="1"/>
    <col min="7" max="7" width="7.5546875" style="1" customWidth="1"/>
    <col min="8" max="8" width="12.88671875" style="1" bestFit="1" customWidth="1"/>
    <col min="9" max="9" width="12.33203125" style="1" bestFit="1" customWidth="1"/>
    <col min="10" max="10" width="7.5546875" style="1" customWidth="1"/>
    <col min="11" max="12" width="7.5546875" bestFit="1" customWidth="1"/>
    <col min="14" max="14" width="12.88671875" bestFit="1" customWidth="1"/>
    <col min="15" max="15" width="12.33203125" style="1" bestFit="1" customWidth="1"/>
    <col min="16" max="18" width="6" style="1" bestFit="1" customWidth="1"/>
    <col min="20" max="20" width="12.88671875" bestFit="1" customWidth="1"/>
    <col min="21" max="21" width="10" bestFit="1" customWidth="1"/>
    <col min="22" max="22" width="12.33203125" bestFit="1" customWidth="1"/>
    <col min="23" max="23" width="4.88671875" bestFit="1" customWidth="1"/>
    <col min="24" max="24" width="4.44140625" bestFit="1" customWidth="1"/>
    <col min="25" max="25" width="5.33203125" bestFit="1" customWidth="1"/>
    <col min="27" max="27" width="12.88671875" bestFit="1" customWidth="1"/>
    <col min="28" max="28" width="10" bestFit="1" customWidth="1"/>
    <col min="29" max="29" width="12.33203125" bestFit="1" customWidth="1"/>
    <col min="30" max="32" width="6.5546875" bestFit="1" customWidth="1"/>
    <col min="34" max="34" width="12.88671875" bestFit="1" customWidth="1"/>
    <col min="35" max="35" width="12.33203125" bestFit="1" customWidth="1"/>
    <col min="36" max="36" width="5.5546875" bestFit="1" customWidth="1"/>
    <col min="37" max="37" width="6.5546875" bestFit="1" customWidth="1"/>
    <col min="38" max="38" width="5.5546875" bestFit="1" customWidth="1"/>
  </cols>
  <sheetData>
    <row r="1" spans="1:38" x14ac:dyDescent="0.3">
      <c r="A1" s="2" t="s">
        <v>14</v>
      </c>
      <c r="B1" s="2"/>
      <c r="C1" s="2"/>
      <c r="D1" s="2"/>
      <c r="E1" s="2"/>
      <c r="F1" s="2"/>
      <c r="G1" s="3"/>
      <c r="H1" s="2" t="s">
        <v>25</v>
      </c>
      <c r="I1" s="2"/>
      <c r="J1" s="2"/>
      <c r="K1" s="2"/>
      <c r="L1" s="2"/>
      <c r="M1" s="3"/>
      <c r="N1" s="2" t="s">
        <v>13</v>
      </c>
      <c r="O1" s="2"/>
      <c r="P1" s="2"/>
      <c r="Q1" s="2"/>
      <c r="R1" s="2"/>
      <c r="T1" s="2" t="s">
        <v>27</v>
      </c>
      <c r="U1" s="2"/>
      <c r="V1" s="2"/>
      <c r="W1" s="2"/>
      <c r="X1" s="2"/>
      <c r="Y1" s="2"/>
      <c r="AA1" s="2" t="s">
        <v>28</v>
      </c>
      <c r="AB1" s="2"/>
      <c r="AC1" s="2"/>
      <c r="AD1" s="2"/>
      <c r="AE1" s="2"/>
      <c r="AF1" s="2"/>
      <c r="AH1" s="2" t="s">
        <v>26</v>
      </c>
      <c r="AI1" s="2"/>
      <c r="AJ1" s="2"/>
      <c r="AK1" s="2"/>
      <c r="AL1" s="2"/>
    </row>
    <row r="2" spans="1:38" x14ac:dyDescent="0.3">
      <c r="A2" s="4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/>
      <c r="H2" s="4" t="s">
        <v>15</v>
      </c>
      <c r="I2" s="3" t="s">
        <v>17</v>
      </c>
      <c r="J2" s="3" t="s">
        <v>18</v>
      </c>
      <c r="K2" s="3" t="s">
        <v>19</v>
      </c>
      <c r="L2" s="3" t="s">
        <v>20</v>
      </c>
      <c r="M2" s="3"/>
      <c r="N2" s="4" t="s">
        <v>15</v>
      </c>
      <c r="O2" s="3" t="s">
        <v>17</v>
      </c>
      <c r="P2" s="3" t="s">
        <v>18</v>
      </c>
      <c r="Q2" s="3" t="s">
        <v>19</v>
      </c>
      <c r="R2" s="3" t="s">
        <v>20</v>
      </c>
      <c r="T2" s="4" t="s">
        <v>15</v>
      </c>
      <c r="U2" s="3" t="s">
        <v>24</v>
      </c>
      <c r="V2" s="3" t="s">
        <v>17</v>
      </c>
      <c r="W2" s="3" t="s">
        <v>18</v>
      </c>
      <c r="X2" s="3" t="s">
        <v>19</v>
      </c>
      <c r="Y2" s="3" t="s">
        <v>20</v>
      </c>
      <c r="AA2" s="4" t="s">
        <v>15</v>
      </c>
      <c r="AB2" s="3" t="s">
        <v>24</v>
      </c>
      <c r="AC2" s="3" t="s">
        <v>17</v>
      </c>
      <c r="AD2" s="3" t="s">
        <v>18</v>
      </c>
      <c r="AE2" s="3" t="s">
        <v>19</v>
      </c>
      <c r="AF2" s="3" t="s">
        <v>20</v>
      </c>
      <c r="AH2" s="4" t="s">
        <v>15</v>
      </c>
      <c r="AI2" s="3" t="s">
        <v>17</v>
      </c>
      <c r="AJ2" s="3" t="s">
        <v>18</v>
      </c>
      <c r="AK2" s="3" t="s">
        <v>19</v>
      </c>
      <c r="AL2" s="3" t="s">
        <v>20</v>
      </c>
    </row>
    <row r="3" spans="1:38" x14ac:dyDescent="0.3">
      <c r="A3" s="5" t="s">
        <v>0</v>
      </c>
      <c r="B3" s="1">
        <v>260280</v>
      </c>
      <c r="C3" s="6">
        <v>1159</v>
      </c>
      <c r="D3" s="6">
        <v>3357</v>
      </c>
      <c r="E3" s="6">
        <v>3066</v>
      </c>
      <c r="F3" s="6">
        <v>2021</v>
      </c>
      <c r="G3" s="6"/>
      <c r="H3" s="5" t="s">
        <v>0</v>
      </c>
      <c r="I3" s="9">
        <f>C3/$B3*100</f>
        <v>0.44528968802827723</v>
      </c>
      <c r="J3" s="9">
        <f>D3/$B3*100</f>
        <v>1.2897648686030427</v>
      </c>
      <c r="K3" s="9">
        <f t="shared" ref="K3:L3" si="0">E3/$B3*100</f>
        <v>1.177962194559705</v>
      </c>
      <c r="L3" s="9">
        <f t="shared" si="0"/>
        <v>0.77647149223912704</v>
      </c>
      <c r="M3" s="6"/>
      <c r="N3" t="s">
        <v>0</v>
      </c>
      <c r="O3" s="1">
        <v>0.19</v>
      </c>
      <c r="P3" s="1">
        <v>0.11</v>
      </c>
      <c r="Q3" s="1">
        <v>0.28699999999999998</v>
      </c>
      <c r="R3" s="1">
        <v>0.16600000000000001</v>
      </c>
      <c r="T3" s="5" t="s">
        <v>0</v>
      </c>
      <c r="U3" s="1">
        <v>2944.83</v>
      </c>
      <c r="V3" s="1"/>
      <c r="W3" s="6">
        <v>187</v>
      </c>
      <c r="X3" s="6">
        <v>201</v>
      </c>
      <c r="Y3" s="6">
        <v>267</v>
      </c>
      <c r="AA3" s="5" t="s">
        <v>0</v>
      </c>
      <c r="AB3" s="1">
        <v>2944.83</v>
      </c>
      <c r="AC3" s="1">
        <v>5</v>
      </c>
      <c r="AD3" s="6">
        <v>105</v>
      </c>
      <c r="AE3" s="6">
        <v>111</v>
      </c>
      <c r="AF3" s="6">
        <v>136</v>
      </c>
      <c r="AH3" s="5" t="s">
        <v>0</v>
      </c>
      <c r="AI3" s="10">
        <f>100*AC3/$AB3</f>
        <v>0.16978908799489276</v>
      </c>
      <c r="AJ3" s="10">
        <f t="shared" ref="AJ3:AL3" si="1">100*AD3/$AB3</f>
        <v>3.5655708478927477</v>
      </c>
      <c r="AK3" s="10">
        <f t="shared" si="1"/>
        <v>3.7693177534866189</v>
      </c>
      <c r="AL3" s="10">
        <f t="shared" si="1"/>
        <v>4.6182631934610825</v>
      </c>
    </row>
    <row r="4" spans="1:38" x14ac:dyDescent="0.3">
      <c r="A4" s="5" t="s">
        <v>1</v>
      </c>
      <c r="B4" s="1">
        <v>122914</v>
      </c>
      <c r="C4" s="6">
        <v>1471</v>
      </c>
      <c r="D4" s="6">
        <v>1845</v>
      </c>
      <c r="E4" s="6">
        <v>1915</v>
      </c>
      <c r="F4" s="6">
        <v>1339</v>
      </c>
      <c r="G4" s="6"/>
      <c r="H4" s="5" t="s">
        <v>1</v>
      </c>
      <c r="I4" s="9">
        <f t="shared" ref="I4:I15" si="2">C4/$B4*100</f>
        <v>1.1967717265730511</v>
      </c>
      <c r="J4" s="9">
        <f t="shared" ref="J4:J15" si="3">D4/$B4*100</f>
        <v>1.5010495142945475</v>
      </c>
      <c r="K4" s="9">
        <f t="shared" ref="K4:K15" si="4">E4/$B4*100</f>
        <v>1.5579999023707634</v>
      </c>
      <c r="L4" s="9">
        <f t="shared" ref="L4:L15" si="5">F4/$B4*100</f>
        <v>1.0893795662007582</v>
      </c>
      <c r="M4" s="6"/>
      <c r="N4" t="s">
        <v>1</v>
      </c>
      <c r="O4" s="1">
        <v>0.41699999999999998</v>
      </c>
      <c r="P4" s="1">
        <v>0.32300000000000001</v>
      </c>
      <c r="Q4" s="1">
        <v>1.7000000000000001E-2</v>
      </c>
      <c r="R4" s="1">
        <v>0.27700000000000002</v>
      </c>
      <c r="T4" s="5" t="s">
        <v>1</v>
      </c>
      <c r="U4" s="1">
        <v>1388.4580000000001</v>
      </c>
      <c r="V4" s="1"/>
      <c r="W4" s="6">
        <v>194</v>
      </c>
      <c r="X4" s="6">
        <v>180</v>
      </c>
      <c r="Y4" s="6">
        <v>158</v>
      </c>
      <c r="AA4" s="5" t="s">
        <v>1</v>
      </c>
      <c r="AB4" s="1">
        <v>1388.4580000000001</v>
      </c>
      <c r="AC4" s="1">
        <v>4</v>
      </c>
      <c r="AD4" s="1">
        <v>103</v>
      </c>
      <c r="AE4" s="1">
        <v>201</v>
      </c>
      <c r="AF4" s="1">
        <v>108</v>
      </c>
      <c r="AH4" s="5" t="s">
        <v>1</v>
      </c>
      <c r="AI4" s="10">
        <f>100*AC4/$AB4</f>
        <v>0.2880893768482734</v>
      </c>
      <c r="AJ4" s="10">
        <f t="shared" ref="AJ4:AJ15" si="6">100*AD4/$AB4</f>
        <v>7.4183014538430401</v>
      </c>
      <c r="AK4" s="10">
        <f t="shared" ref="AK4:AK15" si="7">100*AE4/$AB4</f>
        <v>14.476491186625738</v>
      </c>
      <c r="AL4" s="10">
        <f t="shared" ref="AL4:AL15" si="8">100*AF4/$AB4</f>
        <v>7.7784131749033811</v>
      </c>
    </row>
    <row r="5" spans="1:38" x14ac:dyDescent="0.3">
      <c r="A5" s="5" t="s">
        <v>2</v>
      </c>
      <c r="B5" s="1">
        <v>980766</v>
      </c>
      <c r="C5" s="6">
        <v>16678</v>
      </c>
      <c r="D5" s="6">
        <v>11565</v>
      </c>
      <c r="E5" s="6">
        <v>8988</v>
      </c>
      <c r="F5" s="6">
        <v>9342</v>
      </c>
      <c r="G5" s="6"/>
      <c r="H5" s="5" t="s">
        <v>2</v>
      </c>
      <c r="I5" s="9">
        <f t="shared" si="2"/>
        <v>1.700507562456284</v>
      </c>
      <c r="J5" s="9">
        <f t="shared" si="3"/>
        <v>1.1791803549470516</v>
      </c>
      <c r="K5" s="9">
        <f t="shared" si="4"/>
        <v>0.91642654822862935</v>
      </c>
      <c r="L5" s="9">
        <f t="shared" si="5"/>
        <v>0.95252078477434976</v>
      </c>
      <c r="M5" s="6"/>
      <c r="N5" t="s">
        <v>2</v>
      </c>
      <c r="O5" s="1">
        <v>0.16500000000000001</v>
      </c>
      <c r="P5" s="1">
        <v>1E-3</v>
      </c>
      <c r="Q5" s="1">
        <v>7.0000000000000007E-2</v>
      </c>
      <c r="R5" s="1">
        <v>8.2000000000000003E-2</v>
      </c>
      <c r="T5" s="5" t="s">
        <v>2</v>
      </c>
      <c r="U5" s="1">
        <v>11114.717000000001</v>
      </c>
      <c r="V5" s="1"/>
      <c r="W5" s="6">
        <v>251</v>
      </c>
      <c r="X5" s="6">
        <v>241</v>
      </c>
      <c r="Y5" s="6">
        <v>328</v>
      </c>
      <c r="AA5" s="5" t="s">
        <v>2</v>
      </c>
      <c r="AB5" s="1">
        <v>11114.717000000001</v>
      </c>
      <c r="AC5" s="1">
        <v>13</v>
      </c>
      <c r="AD5" s="1">
        <v>110</v>
      </c>
      <c r="AE5" s="1">
        <v>125</v>
      </c>
      <c r="AF5" s="1">
        <v>117</v>
      </c>
      <c r="AH5" s="5" t="s">
        <v>2</v>
      </c>
      <c r="AI5" s="10">
        <f>100*AC5/$AB5</f>
        <v>0.11696204230840965</v>
      </c>
      <c r="AJ5" s="10">
        <f t="shared" si="6"/>
        <v>0.98967881953269699</v>
      </c>
      <c r="AK5" s="10">
        <f t="shared" si="7"/>
        <v>1.1246350221962467</v>
      </c>
      <c r="AL5" s="10">
        <f t="shared" si="8"/>
        <v>1.0526583807756869</v>
      </c>
    </row>
    <row r="6" spans="1:38" x14ac:dyDescent="0.3">
      <c r="A6" s="5" t="s">
        <v>3</v>
      </c>
      <c r="B6" s="1">
        <v>768924</v>
      </c>
      <c r="C6" s="6">
        <v>4783</v>
      </c>
      <c r="D6" s="6">
        <v>9189</v>
      </c>
      <c r="E6" s="6">
        <v>7572</v>
      </c>
      <c r="F6" s="6">
        <v>6219</v>
      </c>
      <c r="G6" s="6"/>
      <c r="H6" s="5" t="s">
        <v>3</v>
      </c>
      <c r="I6" s="9">
        <f t="shared" si="2"/>
        <v>0.62203806878183021</v>
      </c>
      <c r="J6" s="9">
        <f t="shared" si="3"/>
        <v>1.1950465845779297</v>
      </c>
      <c r="K6" s="9">
        <f t="shared" si="4"/>
        <v>0.98475271938449049</v>
      </c>
      <c r="L6" s="9">
        <f t="shared" si="5"/>
        <v>0.80879254646753129</v>
      </c>
      <c r="M6" s="6"/>
      <c r="N6" t="s">
        <v>3</v>
      </c>
      <c r="O6" s="1">
        <v>0.24399999999999999</v>
      </c>
      <c r="P6" s="1">
        <v>3.0000000000000001E-3</v>
      </c>
      <c r="Q6" s="1">
        <v>0.20200000000000001</v>
      </c>
      <c r="R6" s="1">
        <v>0.152</v>
      </c>
      <c r="T6" s="5" t="s">
        <v>3</v>
      </c>
      <c r="U6" s="1">
        <v>8712.902</v>
      </c>
      <c r="V6" s="1"/>
      <c r="W6" s="6">
        <v>198</v>
      </c>
      <c r="X6" s="6">
        <v>200</v>
      </c>
      <c r="Y6" s="6">
        <v>310</v>
      </c>
      <c r="AA6" s="5" t="s">
        <v>3</v>
      </c>
      <c r="AB6" s="1">
        <v>8712.902</v>
      </c>
      <c r="AC6" s="1">
        <v>12</v>
      </c>
      <c r="AD6" s="1">
        <v>211</v>
      </c>
      <c r="AE6" s="1">
        <v>226</v>
      </c>
      <c r="AF6" s="1">
        <v>223</v>
      </c>
      <c r="AH6" s="5" t="s">
        <v>3</v>
      </c>
      <c r="AI6" s="10">
        <f>100*AC6/$AB6</f>
        <v>0.1377267872403477</v>
      </c>
      <c r="AJ6" s="10">
        <f t="shared" si="6"/>
        <v>2.4216960089761139</v>
      </c>
      <c r="AK6" s="10">
        <f t="shared" si="7"/>
        <v>2.5938544930265484</v>
      </c>
      <c r="AL6" s="10">
        <f t="shared" si="8"/>
        <v>2.5594227962164613</v>
      </c>
    </row>
    <row r="7" spans="1:38" x14ac:dyDescent="0.3">
      <c r="A7" s="5" t="s">
        <v>4</v>
      </c>
      <c r="B7" s="1">
        <v>288086</v>
      </c>
      <c r="C7" s="6">
        <v>4669</v>
      </c>
      <c r="D7" s="6">
        <v>3717</v>
      </c>
      <c r="E7" s="6">
        <v>3237</v>
      </c>
      <c r="F7" s="6">
        <v>2997</v>
      </c>
      <c r="G7" s="6"/>
      <c r="H7" s="5" t="s">
        <v>4</v>
      </c>
      <c r="I7" s="9">
        <f t="shared" si="2"/>
        <v>1.620696597543789</v>
      </c>
      <c r="J7" s="9">
        <f t="shared" si="3"/>
        <v>1.2902397200835862</v>
      </c>
      <c r="K7" s="9">
        <f t="shared" si="4"/>
        <v>1.123622807078442</v>
      </c>
      <c r="L7" s="9">
        <f t="shared" si="5"/>
        <v>1.0403143505758696</v>
      </c>
      <c r="M7" s="6"/>
      <c r="N7" t="s">
        <v>4</v>
      </c>
      <c r="O7" s="1">
        <v>0.23300000000000001</v>
      </c>
      <c r="P7" s="1">
        <v>6.0000000000000001E-3</v>
      </c>
      <c r="Q7" s="1">
        <v>0.20899999999999999</v>
      </c>
      <c r="R7" s="1">
        <v>0.187</v>
      </c>
      <c r="T7" s="5" t="s">
        <v>4</v>
      </c>
      <c r="U7" s="1">
        <v>3259.4780000000001</v>
      </c>
      <c r="V7" s="1"/>
      <c r="W7" s="6">
        <v>197</v>
      </c>
      <c r="X7" s="6">
        <v>219</v>
      </c>
      <c r="Y7" s="6">
        <v>286</v>
      </c>
      <c r="AA7" s="5" t="s">
        <v>4</v>
      </c>
      <c r="AB7" s="1">
        <v>3259.4780000000001</v>
      </c>
      <c r="AC7" s="1">
        <v>5</v>
      </c>
      <c r="AD7" s="1">
        <v>163</v>
      </c>
      <c r="AE7" s="1">
        <v>147</v>
      </c>
      <c r="AF7" s="1">
        <v>116</v>
      </c>
      <c r="AH7" s="5" t="s">
        <v>4</v>
      </c>
      <c r="AI7" s="10">
        <f>100*AC7/$AB7</f>
        <v>0.15339879575809379</v>
      </c>
      <c r="AJ7" s="10">
        <f t="shared" si="6"/>
        <v>5.0008007417138574</v>
      </c>
      <c r="AK7" s="10">
        <f t="shared" si="7"/>
        <v>4.5099245952879574</v>
      </c>
      <c r="AL7" s="10">
        <f t="shared" si="8"/>
        <v>3.5588520615877757</v>
      </c>
    </row>
    <row r="8" spans="1:38" x14ac:dyDescent="0.3">
      <c r="A8" s="5" t="s">
        <v>5</v>
      </c>
      <c r="B8" s="1">
        <v>1749000</v>
      </c>
      <c r="C8" s="6">
        <v>19260</v>
      </c>
      <c r="D8" s="6">
        <v>20277</v>
      </c>
      <c r="E8" s="6">
        <v>16307</v>
      </c>
      <c r="F8" s="6">
        <v>12954</v>
      </c>
      <c r="G8" s="6"/>
      <c r="H8" s="5" t="s">
        <v>5</v>
      </c>
      <c r="I8" s="9">
        <f t="shared" si="2"/>
        <v>1.1012006861063466</v>
      </c>
      <c r="J8" s="9">
        <f t="shared" si="3"/>
        <v>1.1593481989708405</v>
      </c>
      <c r="K8" s="9">
        <f t="shared" si="4"/>
        <v>0.93236134934248149</v>
      </c>
      <c r="L8" s="9">
        <f t="shared" si="5"/>
        <v>0.74065180102915951</v>
      </c>
      <c r="M8" s="6"/>
      <c r="N8" t="s">
        <v>5</v>
      </c>
      <c r="O8" s="1">
        <v>4.5999999999999999E-2</v>
      </c>
      <c r="P8" s="1">
        <v>4.9000000000000002E-2</v>
      </c>
      <c r="Q8" s="1">
        <v>0.124</v>
      </c>
      <c r="R8" s="1">
        <v>0.16800000000000001</v>
      </c>
      <c r="T8" s="5" t="s">
        <v>5</v>
      </c>
      <c r="U8" s="1">
        <v>19824.602999999999</v>
      </c>
      <c r="V8" s="1"/>
      <c r="W8" s="6">
        <v>261</v>
      </c>
      <c r="X8" s="6">
        <v>285</v>
      </c>
      <c r="Y8" s="6">
        <v>388</v>
      </c>
      <c r="AA8" s="5" t="s">
        <v>5</v>
      </c>
      <c r="AB8" s="1">
        <v>19824.602999999999</v>
      </c>
      <c r="AC8" s="1">
        <v>31</v>
      </c>
      <c r="AD8" s="1">
        <v>109</v>
      </c>
      <c r="AE8" s="1">
        <v>115</v>
      </c>
      <c r="AF8" s="1">
        <v>119</v>
      </c>
      <c r="AH8" s="5" t="s">
        <v>5</v>
      </c>
      <c r="AI8" s="10">
        <f>100*AC8/$AB8</f>
        <v>0.15637135331285071</v>
      </c>
      <c r="AJ8" s="10">
        <f t="shared" si="6"/>
        <v>0.5498218551967976</v>
      </c>
      <c r="AK8" s="10">
        <f t="shared" si="7"/>
        <v>0.58008727841863972</v>
      </c>
      <c r="AL8" s="10">
        <f t="shared" si="8"/>
        <v>0.60026422723320116</v>
      </c>
    </row>
    <row r="9" spans="1:38" x14ac:dyDescent="0.3">
      <c r="A9" s="5" t="s">
        <v>6</v>
      </c>
      <c r="B9" s="1">
        <v>231906</v>
      </c>
      <c r="C9" s="6">
        <v>1989</v>
      </c>
      <c r="D9" s="6">
        <v>3069</v>
      </c>
      <c r="E9" s="6">
        <v>2747</v>
      </c>
      <c r="F9" s="6">
        <v>2302</v>
      </c>
      <c r="G9" s="6"/>
      <c r="H9" s="5" t="s">
        <v>6</v>
      </c>
      <c r="I9" s="9">
        <f t="shared" si="2"/>
        <v>0.85767509249437268</v>
      </c>
      <c r="J9" s="9">
        <f t="shared" si="3"/>
        <v>1.3233810250705027</v>
      </c>
      <c r="K9" s="9">
        <f t="shared" si="4"/>
        <v>1.1845316636913232</v>
      </c>
      <c r="L9" s="9">
        <f t="shared" si="5"/>
        <v>0.99264357110208457</v>
      </c>
      <c r="M9" s="6"/>
      <c r="N9" t="s">
        <v>6</v>
      </c>
      <c r="O9" s="1">
        <v>0.51800000000000002</v>
      </c>
      <c r="P9" s="1">
        <v>0.1</v>
      </c>
      <c r="Q9" s="1">
        <v>0.79700000000000004</v>
      </c>
      <c r="R9" s="1">
        <v>0.72799999999999998</v>
      </c>
      <c r="T9" s="5" t="s">
        <v>6</v>
      </c>
      <c r="U9" s="1">
        <v>2623.8100000000004</v>
      </c>
      <c r="V9" s="1"/>
      <c r="W9" s="6">
        <v>164</v>
      </c>
      <c r="X9" s="6">
        <v>207</v>
      </c>
      <c r="Y9" s="6">
        <v>225</v>
      </c>
      <c r="AA9" s="5" t="s">
        <v>6</v>
      </c>
      <c r="AB9" s="1">
        <v>2623.8100000000004</v>
      </c>
      <c r="AC9" s="1">
        <v>3</v>
      </c>
      <c r="AD9" s="1">
        <v>123</v>
      </c>
      <c r="AE9" s="1">
        <v>198</v>
      </c>
      <c r="AF9" s="1">
        <v>197</v>
      </c>
      <c r="AH9" s="5" t="s">
        <v>6</v>
      </c>
      <c r="AI9" s="10">
        <f>100*AC9/$AB9</f>
        <v>0.11433754730716018</v>
      </c>
      <c r="AJ9" s="10">
        <f t="shared" si="6"/>
        <v>4.6878394395935672</v>
      </c>
      <c r="AK9" s="10">
        <f t="shared" si="7"/>
        <v>7.5462781222725717</v>
      </c>
      <c r="AL9" s="10">
        <f t="shared" si="8"/>
        <v>7.5081656065035185</v>
      </c>
    </row>
    <row r="10" spans="1:38" x14ac:dyDescent="0.3">
      <c r="A10" s="5" t="s">
        <v>7</v>
      </c>
      <c r="B10" s="1">
        <v>694630</v>
      </c>
      <c r="C10" s="6">
        <v>9125</v>
      </c>
      <c r="D10" s="6">
        <v>8325</v>
      </c>
      <c r="E10" s="6">
        <v>6593</v>
      </c>
      <c r="F10" s="6">
        <v>6121</v>
      </c>
      <c r="G10" s="6"/>
      <c r="H10" s="5" t="s">
        <v>7</v>
      </c>
      <c r="I10" s="9">
        <f t="shared" si="2"/>
        <v>1.3136489929890733</v>
      </c>
      <c r="J10" s="9">
        <f t="shared" si="3"/>
        <v>1.1984797662064697</v>
      </c>
      <c r="K10" s="9">
        <f t="shared" si="4"/>
        <v>0.94913839022213264</v>
      </c>
      <c r="L10" s="9">
        <f t="shared" si="5"/>
        <v>0.88118854642039657</v>
      </c>
      <c r="M10" s="6"/>
      <c r="N10" t="s">
        <v>7</v>
      </c>
      <c r="O10" s="1">
        <v>0.21199999999999999</v>
      </c>
      <c r="P10" s="1">
        <v>0.38400000000000001</v>
      </c>
      <c r="Q10" s="1">
        <v>0.218</v>
      </c>
      <c r="R10" s="1">
        <v>0.13300000000000001</v>
      </c>
      <c r="T10" s="5" t="s">
        <v>7</v>
      </c>
      <c r="U10" s="1">
        <v>7868.3670000000002</v>
      </c>
      <c r="V10" s="1"/>
      <c r="W10" s="6">
        <v>226</v>
      </c>
      <c r="X10" s="6">
        <v>208</v>
      </c>
      <c r="Y10" s="6">
        <v>269</v>
      </c>
      <c r="AA10" s="5" t="s">
        <v>7</v>
      </c>
      <c r="AB10" s="1">
        <v>7868.3670000000002</v>
      </c>
      <c r="AC10" s="1">
        <v>11</v>
      </c>
      <c r="AD10" s="1">
        <v>103</v>
      </c>
      <c r="AE10" s="1">
        <v>116</v>
      </c>
      <c r="AF10" s="1">
        <v>116</v>
      </c>
      <c r="AH10" s="5" t="s">
        <v>7</v>
      </c>
      <c r="AI10" s="10">
        <f>100*AC10/$AB10</f>
        <v>0.13980029147089859</v>
      </c>
      <c r="AJ10" s="10">
        <f t="shared" si="6"/>
        <v>1.3090390928638687</v>
      </c>
      <c r="AK10" s="10">
        <f t="shared" si="7"/>
        <v>1.474257619147658</v>
      </c>
      <c r="AL10" s="10">
        <f t="shared" si="8"/>
        <v>1.474257619147658</v>
      </c>
    </row>
    <row r="11" spans="1:38" x14ac:dyDescent="0.3">
      <c r="A11" s="5" t="s">
        <v>8</v>
      </c>
      <c r="B11" s="1">
        <v>495062</v>
      </c>
      <c r="C11" s="6">
        <v>4470</v>
      </c>
      <c r="D11" s="6">
        <v>6021</v>
      </c>
      <c r="E11" s="6">
        <v>4773</v>
      </c>
      <c r="F11" s="6">
        <v>4395</v>
      </c>
      <c r="G11" s="6"/>
      <c r="H11" s="5" t="s">
        <v>8</v>
      </c>
      <c r="I11" s="9">
        <f t="shared" si="2"/>
        <v>0.90291721036961026</v>
      </c>
      <c r="J11" s="9">
        <f t="shared" si="3"/>
        <v>1.2162113028267167</v>
      </c>
      <c r="K11" s="9">
        <f t="shared" si="4"/>
        <v>0.96412166556916101</v>
      </c>
      <c r="L11" s="9">
        <f t="shared" si="5"/>
        <v>0.88776759274595918</v>
      </c>
      <c r="M11" s="6"/>
      <c r="N11" t="s">
        <v>8</v>
      </c>
      <c r="O11" s="1">
        <v>0.17</v>
      </c>
      <c r="P11" s="1">
        <v>6.2E-2</v>
      </c>
      <c r="Q11" s="1">
        <v>0.126</v>
      </c>
      <c r="R11" s="1">
        <v>0.126</v>
      </c>
      <c r="T11" s="5" t="s">
        <v>8</v>
      </c>
      <c r="U11" s="1">
        <v>5607.2340000000004</v>
      </c>
      <c r="V11" s="1"/>
      <c r="W11" s="6">
        <v>217</v>
      </c>
      <c r="X11" s="6">
        <v>154</v>
      </c>
      <c r="Y11" s="6">
        <v>192</v>
      </c>
      <c r="AA11" s="5" t="s">
        <v>8</v>
      </c>
      <c r="AB11" s="1">
        <v>5607.2340000000004</v>
      </c>
      <c r="AC11" s="1">
        <v>7</v>
      </c>
      <c r="AD11" s="1">
        <v>120</v>
      </c>
      <c r="AE11" s="1">
        <v>216</v>
      </c>
      <c r="AF11" s="1">
        <v>223</v>
      </c>
      <c r="AH11" s="5" t="s">
        <v>8</v>
      </c>
      <c r="AI11" s="10">
        <f>100*AC11/$AB11</f>
        <v>0.12483873510540133</v>
      </c>
      <c r="AJ11" s="10">
        <f t="shared" si="6"/>
        <v>2.14009260180688</v>
      </c>
      <c r="AK11" s="10">
        <f t="shared" si="7"/>
        <v>3.852166683252384</v>
      </c>
      <c r="AL11" s="10">
        <f t="shared" si="8"/>
        <v>3.9770054183577854</v>
      </c>
    </row>
    <row r="12" spans="1:38" x14ac:dyDescent="0.3">
      <c r="A12" s="5" t="s">
        <v>9</v>
      </c>
      <c r="B12" s="1">
        <v>107530</v>
      </c>
      <c r="C12" s="6">
        <v>694</v>
      </c>
      <c r="D12" s="6">
        <v>1629</v>
      </c>
      <c r="E12" s="6">
        <v>1777</v>
      </c>
      <c r="F12" s="6">
        <v>977</v>
      </c>
      <c r="G12" s="6"/>
      <c r="H12" s="5" t="s">
        <v>9</v>
      </c>
      <c r="I12" s="9">
        <f t="shared" si="2"/>
        <v>0.64540128336278246</v>
      </c>
      <c r="J12" s="9">
        <f t="shared" si="3"/>
        <v>1.5149260671440528</v>
      </c>
      <c r="K12" s="9">
        <f t="shared" si="4"/>
        <v>1.6525620756998045</v>
      </c>
      <c r="L12" s="9">
        <f t="shared" si="5"/>
        <v>0.90858365107411887</v>
      </c>
      <c r="M12" s="6"/>
      <c r="N12" t="s">
        <v>9</v>
      </c>
      <c r="O12" s="1">
        <v>0.24399999999999999</v>
      </c>
      <c r="P12" s="1">
        <v>0.32900000000000001</v>
      </c>
      <c r="Q12" s="1">
        <v>0.26800000000000002</v>
      </c>
      <c r="R12" s="1">
        <v>0.26600000000000001</v>
      </c>
      <c r="T12" s="5" t="s">
        <v>9</v>
      </c>
      <c r="U12" s="1">
        <v>1214.059</v>
      </c>
      <c r="V12" s="1"/>
      <c r="W12" s="6">
        <v>196</v>
      </c>
      <c r="X12" s="6">
        <v>199</v>
      </c>
      <c r="Y12" s="6">
        <v>155</v>
      </c>
      <c r="AA12" s="5" t="s">
        <v>9</v>
      </c>
      <c r="AB12" s="1">
        <v>1214.059</v>
      </c>
      <c r="AC12" s="1">
        <v>2</v>
      </c>
      <c r="AD12" s="1">
        <v>104</v>
      </c>
      <c r="AE12" s="1">
        <v>199</v>
      </c>
      <c r="AF12" s="1">
        <v>106</v>
      </c>
      <c r="AH12" s="5" t="s">
        <v>9</v>
      </c>
      <c r="AI12" s="10">
        <f>100*AC12/$AB12</f>
        <v>0.16473663965260338</v>
      </c>
      <c r="AJ12" s="10">
        <f t="shared" si="6"/>
        <v>8.5663052619353763</v>
      </c>
      <c r="AK12" s="10">
        <f t="shared" si="7"/>
        <v>16.391295645434035</v>
      </c>
      <c r="AL12" s="10">
        <f t="shared" si="8"/>
        <v>8.7310419015879788</v>
      </c>
    </row>
    <row r="13" spans="1:38" x14ac:dyDescent="0.3">
      <c r="A13" s="5" t="s">
        <v>10</v>
      </c>
      <c r="B13" s="1">
        <v>229734</v>
      </c>
      <c r="C13" s="6">
        <v>3747</v>
      </c>
      <c r="D13" s="6">
        <v>3069</v>
      </c>
      <c r="E13" s="6">
        <v>2656</v>
      </c>
      <c r="F13" s="6">
        <v>2294</v>
      </c>
      <c r="G13" s="6"/>
      <c r="H13" s="5" t="s">
        <v>10</v>
      </c>
      <c r="I13" s="9">
        <f t="shared" si="2"/>
        <v>1.6310167411005771</v>
      </c>
      <c r="J13" s="9">
        <f t="shared" si="3"/>
        <v>1.3358928151688476</v>
      </c>
      <c r="K13" s="9">
        <f t="shared" si="4"/>
        <v>1.1561196862458321</v>
      </c>
      <c r="L13" s="9">
        <f t="shared" si="5"/>
        <v>0.99854614467166369</v>
      </c>
      <c r="M13" s="6"/>
      <c r="N13" t="s">
        <v>10</v>
      </c>
      <c r="O13" s="1">
        <v>0.39600000000000002</v>
      </c>
      <c r="P13" s="1">
        <v>0.69699999999999995</v>
      </c>
      <c r="Q13" s="1">
        <v>0.52900000000000003</v>
      </c>
      <c r="R13" s="1">
        <v>0.245</v>
      </c>
      <c r="T13" s="5" t="s">
        <v>10</v>
      </c>
      <c r="U13" s="1">
        <v>2597.7779999999998</v>
      </c>
      <c r="V13" s="1"/>
      <c r="W13" s="6">
        <v>198</v>
      </c>
      <c r="X13" s="6">
        <v>115</v>
      </c>
      <c r="Y13" s="6">
        <v>226</v>
      </c>
      <c r="AA13" s="5" t="s">
        <v>10</v>
      </c>
      <c r="AB13" s="1">
        <v>2597.7779999999998</v>
      </c>
      <c r="AC13" s="1">
        <v>4</v>
      </c>
      <c r="AD13" s="1">
        <v>104</v>
      </c>
      <c r="AE13" s="1">
        <v>120</v>
      </c>
      <c r="AF13" s="1">
        <v>106</v>
      </c>
      <c r="AH13" s="5" t="s">
        <v>10</v>
      </c>
      <c r="AI13" s="10">
        <f>100*AC13/$AB13</f>
        <v>0.15397774559642896</v>
      </c>
      <c r="AJ13" s="10">
        <f t="shared" si="6"/>
        <v>4.0034213855071528</v>
      </c>
      <c r="AK13" s="10">
        <f t="shared" si="7"/>
        <v>4.6193323678928691</v>
      </c>
      <c r="AL13" s="10">
        <f t="shared" si="8"/>
        <v>4.0804102583053679</v>
      </c>
    </row>
    <row r="14" spans="1:38" x14ac:dyDescent="0.3">
      <c r="A14" s="5" t="s">
        <v>11</v>
      </c>
      <c r="B14" s="1">
        <v>203412</v>
      </c>
      <c r="C14" s="6">
        <v>2535</v>
      </c>
      <c r="D14" s="6">
        <v>2709</v>
      </c>
      <c r="E14" s="6">
        <v>2568</v>
      </c>
      <c r="F14" s="6">
        <v>2021</v>
      </c>
      <c r="G14" s="6"/>
      <c r="H14" s="5" t="s">
        <v>11</v>
      </c>
      <c r="I14" s="9">
        <f t="shared" si="2"/>
        <v>1.2462391599315674</v>
      </c>
      <c r="J14" s="9">
        <f t="shared" si="3"/>
        <v>1.3317798359978763</v>
      </c>
      <c r="K14" s="9">
        <f t="shared" si="4"/>
        <v>1.2624623915993156</v>
      </c>
      <c r="L14" s="9">
        <f t="shared" si="5"/>
        <v>0.9935500363793679</v>
      </c>
      <c r="M14" s="6"/>
      <c r="N14" t="s">
        <v>11</v>
      </c>
      <c r="O14" s="1">
        <v>0.223</v>
      </c>
      <c r="P14" s="1">
        <v>1.9E-2</v>
      </c>
      <c r="Q14" s="1">
        <v>0.247</v>
      </c>
      <c r="R14" s="1">
        <v>0.214</v>
      </c>
      <c r="T14" s="5" t="s">
        <v>11</v>
      </c>
      <c r="U14" s="1">
        <v>2299.3420000000001</v>
      </c>
      <c r="V14" s="1"/>
      <c r="W14" s="6">
        <v>187</v>
      </c>
      <c r="X14" s="6">
        <v>216</v>
      </c>
      <c r="Y14" s="6">
        <v>220</v>
      </c>
      <c r="AA14" s="5" t="s">
        <v>11</v>
      </c>
      <c r="AB14" s="1">
        <v>2299.3420000000001</v>
      </c>
      <c r="AC14" s="1">
        <v>5</v>
      </c>
      <c r="AD14" s="1">
        <v>115</v>
      </c>
      <c r="AE14" s="1">
        <v>106</v>
      </c>
      <c r="AF14" s="1">
        <v>106</v>
      </c>
      <c r="AH14" s="5" t="s">
        <v>11</v>
      </c>
      <c r="AI14" s="10">
        <f>100*AC14/$AB14</f>
        <v>0.21745351496210655</v>
      </c>
      <c r="AJ14" s="10">
        <f t="shared" si="6"/>
        <v>5.0014308441284507</v>
      </c>
      <c r="AK14" s="10">
        <f t="shared" si="7"/>
        <v>4.6100145171966584</v>
      </c>
      <c r="AL14" s="10">
        <f t="shared" si="8"/>
        <v>4.6100145171966584</v>
      </c>
    </row>
    <row r="15" spans="1:38" x14ac:dyDescent="0.3">
      <c r="A15" s="5" t="s">
        <v>12</v>
      </c>
      <c r="B15" s="1">
        <v>200884</v>
      </c>
      <c r="C15" s="6">
        <v>1575</v>
      </c>
      <c r="D15" s="6">
        <v>2709</v>
      </c>
      <c r="E15" s="6">
        <v>2514</v>
      </c>
      <c r="F15" s="6">
        <v>1754</v>
      </c>
      <c r="G15" s="6"/>
      <c r="H15" s="5" t="s">
        <v>12</v>
      </c>
      <c r="I15" s="9">
        <f t="shared" si="2"/>
        <v>0.78403456721291898</v>
      </c>
      <c r="J15" s="9">
        <f t="shared" si="3"/>
        <v>1.3485394556062205</v>
      </c>
      <c r="K15" s="9">
        <f t="shared" si="4"/>
        <v>1.2514685091893829</v>
      </c>
      <c r="L15" s="9">
        <f t="shared" si="5"/>
        <v>0.87314071802632365</v>
      </c>
      <c r="M15" s="6"/>
      <c r="N15" t="s">
        <v>12</v>
      </c>
      <c r="O15" s="1">
        <v>0.14199999999999999</v>
      </c>
      <c r="P15" s="1">
        <v>5.0000000000000001E-3</v>
      </c>
      <c r="Q15" s="1">
        <v>0.17299999999999999</v>
      </c>
      <c r="R15" s="1">
        <v>6.7000000000000004E-2</v>
      </c>
      <c r="T15" s="5" t="s">
        <v>12</v>
      </c>
      <c r="U15" s="1">
        <v>2270.884</v>
      </c>
      <c r="V15" s="1"/>
      <c r="W15" s="6">
        <v>214</v>
      </c>
      <c r="X15" s="6">
        <v>211</v>
      </c>
      <c r="Y15" s="6">
        <v>229</v>
      </c>
      <c r="AA15" s="5" t="s">
        <v>12</v>
      </c>
      <c r="AB15" s="1">
        <v>2270.884</v>
      </c>
      <c r="AC15" s="1">
        <v>5</v>
      </c>
      <c r="AD15" s="1">
        <v>111</v>
      </c>
      <c r="AE15" s="1">
        <v>105</v>
      </c>
      <c r="AF15" s="1">
        <v>108</v>
      </c>
      <c r="AH15" s="5" t="s">
        <v>12</v>
      </c>
      <c r="AI15" s="10">
        <f>100*AC15/$AB15</f>
        <v>0.22017857363035717</v>
      </c>
      <c r="AJ15" s="10">
        <f t="shared" si="6"/>
        <v>4.8879643345939288</v>
      </c>
      <c r="AK15" s="10">
        <f t="shared" si="7"/>
        <v>4.6237500462375003</v>
      </c>
      <c r="AL15" s="10">
        <f t="shared" si="8"/>
        <v>4.755857190415715</v>
      </c>
    </row>
    <row r="16" spans="1:38" x14ac:dyDescent="0.3">
      <c r="A16" s="4" t="s">
        <v>22</v>
      </c>
      <c r="B16" s="7">
        <f>AVERAGE(B3:B15)</f>
        <v>487163.69230769231</v>
      </c>
      <c r="C16" s="7">
        <f>AVERAGE(C3:C15)</f>
        <v>5550.3846153846152</v>
      </c>
      <c r="D16" s="7">
        <f t="shared" ref="D16:F16" si="9">AVERAGE(D3:D15)</f>
        <v>5960.0769230769229</v>
      </c>
      <c r="E16" s="7">
        <f t="shared" si="9"/>
        <v>4977.9230769230771</v>
      </c>
      <c r="F16" s="7">
        <f t="shared" si="9"/>
        <v>4210.4615384615381</v>
      </c>
      <c r="G16" s="7"/>
      <c r="H16" s="4" t="s">
        <v>22</v>
      </c>
      <c r="I16" s="7">
        <f>AVERAGE(I3:I15)</f>
        <v>1.0821105674577292</v>
      </c>
      <c r="J16" s="7">
        <f t="shared" ref="J16" si="10">AVERAGE(J3:J15)</f>
        <v>1.2987568853459757</v>
      </c>
      <c r="K16" s="7">
        <f t="shared" ref="K16" si="11">AVERAGE(K3:K15)</f>
        <v>1.1625792233216512</v>
      </c>
      <c r="L16" s="7">
        <f t="shared" ref="L16" si="12">AVERAGE(L3:L15)</f>
        <v>0.9187346770543624</v>
      </c>
      <c r="M16" s="7"/>
      <c r="N16" s="4" t="s">
        <v>22</v>
      </c>
      <c r="O16" s="8">
        <f>AVERAGE(O3:O15)</f>
        <v>0.24615384615384614</v>
      </c>
      <c r="P16" s="8">
        <f t="shared" ref="P16:R16" si="13">AVERAGE(P3:P15)</f>
        <v>0.16061538461538463</v>
      </c>
      <c r="Q16" s="8">
        <f t="shared" si="13"/>
        <v>0.25130769230769229</v>
      </c>
      <c r="R16" s="8">
        <f t="shared" si="13"/>
        <v>0.21623076923076925</v>
      </c>
      <c r="T16" s="4" t="s">
        <v>22</v>
      </c>
      <c r="U16" s="7">
        <f>AVERAGE(U3:U15)</f>
        <v>5517.4201538461539</v>
      </c>
      <c r="V16" s="7"/>
      <c r="W16" s="7"/>
      <c r="X16" s="7"/>
      <c r="Y16" s="7"/>
      <c r="AA16" s="4" t="s">
        <v>22</v>
      </c>
      <c r="AB16" s="7">
        <f>AVERAGE(AB3:AB15)</f>
        <v>5517.4201538461539</v>
      </c>
      <c r="AC16" s="7">
        <f t="shared" ref="AC16:AF16" si="14">AVERAGE(AC3:AC15)</f>
        <v>8.2307692307692299</v>
      </c>
      <c r="AD16" s="7">
        <f t="shared" si="14"/>
        <v>121.61538461538461</v>
      </c>
      <c r="AE16" s="7">
        <f t="shared" si="14"/>
        <v>152.69230769230768</v>
      </c>
      <c r="AF16" s="7">
        <f t="shared" si="14"/>
        <v>137</v>
      </c>
      <c r="AH16" s="4" t="s">
        <v>22</v>
      </c>
      <c r="AI16" s="8">
        <f t="shared" ref="AI16" si="15">AVERAGE(AI3:AI15)</f>
        <v>0.16597388393752494</v>
      </c>
      <c r="AJ16" s="8">
        <f t="shared" ref="AJ16" si="16">AVERAGE(AJ3:AJ15)</f>
        <v>3.8878432836603447</v>
      </c>
      <c r="AK16" s="8">
        <f t="shared" ref="AK16" si="17">AVERAGE(AK3:AK15)</f>
        <v>5.3978004100365711</v>
      </c>
      <c r="AL16" s="8">
        <f t="shared" ref="AL16" si="18">AVERAGE(AL3:AL15)</f>
        <v>4.254202026591714</v>
      </c>
    </row>
    <row r="17" spans="7:38" x14ac:dyDescent="0.3">
      <c r="H17" s="4" t="s">
        <v>21</v>
      </c>
      <c r="I17" s="7">
        <f>_xlfn.STDEV.S(I3:I15)</f>
        <v>0.41302753873010606</v>
      </c>
      <c r="J17" s="7">
        <f t="shared" ref="J17:L17" si="19">_xlfn.STDEV.S(J3:J15)</f>
        <v>0.11354789563171484</v>
      </c>
      <c r="K17" s="7">
        <f t="shared" si="19"/>
        <v>0.23215522839261807</v>
      </c>
      <c r="L17" s="7">
        <f t="shared" si="19"/>
        <v>0.10450783482725237</v>
      </c>
      <c r="N17" s="4" t="s">
        <v>21</v>
      </c>
      <c r="O17" s="8">
        <f>_xlfn.STDEV.S(O3:O14)</f>
        <v>0.12867282918198769</v>
      </c>
      <c r="P17" s="8">
        <f t="shared" ref="P17:R17" si="20">_xlfn.STDEV.S(P3:P14)</f>
        <v>0.21595725937969268</v>
      </c>
      <c r="Q17" s="8">
        <f t="shared" si="20"/>
        <v>0.21340649787045701</v>
      </c>
      <c r="R17" s="8">
        <f t="shared" si="20"/>
        <v>0.16786646929971305</v>
      </c>
      <c r="T17" s="4" t="s">
        <v>21</v>
      </c>
      <c r="U17" s="4"/>
      <c r="V17" s="7"/>
      <c r="W17" s="7"/>
      <c r="X17" s="7"/>
      <c r="Y17" s="7"/>
      <c r="AA17" s="4" t="s">
        <v>21</v>
      </c>
      <c r="AB17" s="7"/>
      <c r="AC17" s="7"/>
      <c r="AD17" s="7"/>
      <c r="AE17" s="7"/>
      <c r="AH17" s="4" t="s">
        <v>21</v>
      </c>
      <c r="AI17" s="8">
        <f>_xlfn.STDEV.S(AI3:AI15)</f>
        <v>4.9290260613318843E-2</v>
      </c>
      <c r="AJ17" s="8">
        <f t="shared" ref="AJ17:AL17" si="21">_xlfn.STDEV.S(AJ3:AJ15)</f>
        <v>2.4149627734849664</v>
      </c>
      <c r="AK17" s="8">
        <f t="shared" si="21"/>
        <v>4.832849048346354</v>
      </c>
      <c r="AL17" s="8">
        <f t="shared" si="21"/>
        <v>2.5552772720836221</v>
      </c>
    </row>
    <row r="19" spans="7:38" x14ac:dyDescent="0.3">
      <c r="G19" s="3"/>
    </row>
    <row r="20" spans="7:38" x14ac:dyDescent="0.3">
      <c r="G20" s="3"/>
    </row>
    <row r="21" spans="7:38" x14ac:dyDescent="0.3">
      <c r="G21" s="6"/>
    </row>
    <row r="22" spans="7:38" x14ac:dyDescent="0.3">
      <c r="G22" s="6"/>
    </row>
    <row r="23" spans="7:38" x14ac:dyDescent="0.3">
      <c r="G23" s="6"/>
    </row>
    <row r="24" spans="7:38" x14ac:dyDescent="0.3">
      <c r="G24" s="6"/>
    </row>
    <row r="25" spans="7:38" x14ac:dyDescent="0.3">
      <c r="G25" s="6"/>
    </row>
    <row r="26" spans="7:38" x14ac:dyDescent="0.3">
      <c r="G26" s="6"/>
    </row>
    <row r="27" spans="7:38" x14ac:dyDescent="0.3">
      <c r="G27" s="6"/>
    </row>
    <row r="28" spans="7:38" x14ac:dyDescent="0.3">
      <c r="G28" s="6"/>
    </row>
    <row r="29" spans="7:38" x14ac:dyDescent="0.3">
      <c r="G29" s="6"/>
    </row>
    <row r="30" spans="7:38" x14ac:dyDescent="0.3">
      <c r="G30" s="6"/>
    </row>
    <row r="31" spans="7:38" x14ac:dyDescent="0.3">
      <c r="G31" s="6"/>
    </row>
    <row r="32" spans="7:38" x14ac:dyDescent="0.3">
      <c r="G32" s="6"/>
    </row>
    <row r="33" spans="7:14" x14ac:dyDescent="0.3">
      <c r="G33" s="6"/>
    </row>
    <row r="34" spans="7:14" x14ac:dyDescent="0.3">
      <c r="G34" s="7"/>
    </row>
    <row r="37" spans="7:14" x14ac:dyDescent="0.3">
      <c r="H37" s="2" t="s">
        <v>23</v>
      </c>
      <c r="I37" s="2"/>
      <c r="J37" s="2"/>
      <c r="K37" s="2"/>
      <c r="L37" s="2"/>
    </row>
    <row r="38" spans="7:14" x14ac:dyDescent="0.3">
      <c r="H38" s="4" t="s">
        <v>15</v>
      </c>
      <c r="I38" s="3" t="s">
        <v>24</v>
      </c>
      <c r="J38" s="3" t="s">
        <v>17</v>
      </c>
      <c r="K38" s="3" t="s">
        <v>18</v>
      </c>
      <c r="L38" s="3" t="s">
        <v>19</v>
      </c>
      <c r="M38" s="3" t="s">
        <v>20</v>
      </c>
    </row>
    <row r="39" spans="7:14" x14ac:dyDescent="0.3">
      <c r="H39" s="5" t="s">
        <v>0</v>
      </c>
      <c r="I39" s="1">
        <f>N39*1000</f>
        <v>2944.83</v>
      </c>
      <c r="J39" s="1">
        <v>5</v>
      </c>
      <c r="K39" s="6">
        <v>105</v>
      </c>
      <c r="L39" s="6">
        <v>111</v>
      </c>
      <c r="M39" s="6">
        <v>136</v>
      </c>
      <c r="N39">
        <v>2.9448300000000001</v>
      </c>
    </row>
    <row r="40" spans="7:14" x14ac:dyDescent="0.3">
      <c r="H40" s="5" t="s">
        <v>1</v>
      </c>
      <c r="I40" s="1">
        <f t="shared" ref="I40:I51" si="22">N40*1000</f>
        <v>1388.4580000000001</v>
      </c>
      <c r="J40" s="1">
        <v>4</v>
      </c>
      <c r="K40" s="1">
        <v>103</v>
      </c>
      <c r="L40" s="1">
        <v>201</v>
      </c>
      <c r="M40" s="1">
        <v>108</v>
      </c>
      <c r="N40">
        <v>1.388458</v>
      </c>
    </row>
    <row r="41" spans="7:14" x14ac:dyDescent="0.3">
      <c r="H41" s="5" t="s">
        <v>2</v>
      </c>
      <c r="I41" s="1">
        <f t="shared" si="22"/>
        <v>11114.717000000001</v>
      </c>
      <c r="J41" s="1">
        <v>13</v>
      </c>
      <c r="K41" s="1">
        <v>110</v>
      </c>
      <c r="L41" s="1">
        <v>125</v>
      </c>
      <c r="M41" s="1">
        <v>117</v>
      </c>
      <c r="N41">
        <v>11.114717000000001</v>
      </c>
    </row>
    <row r="42" spans="7:14" x14ac:dyDescent="0.3">
      <c r="H42" s="5" t="s">
        <v>3</v>
      </c>
      <c r="I42" s="1">
        <f t="shared" si="22"/>
        <v>8712.902</v>
      </c>
      <c r="J42" s="1">
        <v>12</v>
      </c>
      <c r="K42" s="1">
        <v>211</v>
      </c>
      <c r="L42" s="1">
        <v>226</v>
      </c>
      <c r="M42" s="1">
        <v>223</v>
      </c>
      <c r="N42">
        <v>8.7129019999999997</v>
      </c>
    </row>
    <row r="43" spans="7:14" x14ac:dyDescent="0.3">
      <c r="H43" s="5" t="s">
        <v>4</v>
      </c>
      <c r="I43" s="1">
        <f t="shared" si="22"/>
        <v>3259.4780000000001</v>
      </c>
      <c r="J43" s="1">
        <v>5</v>
      </c>
      <c r="K43" s="1">
        <v>163</v>
      </c>
      <c r="L43" s="1">
        <v>147</v>
      </c>
      <c r="M43" s="1">
        <v>116</v>
      </c>
      <c r="N43">
        <v>3.2594780000000001</v>
      </c>
    </row>
    <row r="44" spans="7:14" x14ac:dyDescent="0.3">
      <c r="H44" s="5" t="s">
        <v>5</v>
      </c>
      <c r="I44" s="1">
        <f t="shared" si="22"/>
        <v>19824.602999999999</v>
      </c>
      <c r="J44" s="1">
        <v>31</v>
      </c>
      <c r="K44" s="1">
        <v>109</v>
      </c>
      <c r="L44" s="1">
        <v>115</v>
      </c>
      <c r="M44" s="1">
        <v>119</v>
      </c>
      <c r="N44">
        <v>19.824603</v>
      </c>
    </row>
    <row r="45" spans="7:14" x14ac:dyDescent="0.3">
      <c r="H45" s="5" t="s">
        <v>6</v>
      </c>
      <c r="I45" s="1">
        <f t="shared" si="22"/>
        <v>2623.8100000000004</v>
      </c>
      <c r="J45" s="1">
        <v>3</v>
      </c>
      <c r="K45" s="1">
        <v>123</v>
      </c>
      <c r="L45" s="1">
        <v>198</v>
      </c>
      <c r="M45" s="1">
        <v>197</v>
      </c>
      <c r="N45">
        <v>2.6238100000000002</v>
      </c>
    </row>
    <row r="46" spans="7:14" x14ac:dyDescent="0.3">
      <c r="H46" s="5" t="s">
        <v>7</v>
      </c>
      <c r="I46" s="1">
        <f t="shared" si="22"/>
        <v>7868.3670000000002</v>
      </c>
      <c r="J46" s="1">
        <v>11</v>
      </c>
      <c r="K46" s="1">
        <v>103</v>
      </c>
      <c r="L46" s="1">
        <v>116</v>
      </c>
      <c r="M46" s="1">
        <v>116</v>
      </c>
      <c r="N46">
        <v>7.8683670000000001</v>
      </c>
    </row>
    <row r="47" spans="7:14" x14ac:dyDescent="0.3">
      <c r="H47" s="5" t="s">
        <v>8</v>
      </c>
      <c r="I47" s="1">
        <f t="shared" si="22"/>
        <v>5607.2340000000004</v>
      </c>
      <c r="J47" s="1">
        <v>7</v>
      </c>
      <c r="K47" s="1">
        <v>120</v>
      </c>
      <c r="L47" s="1">
        <v>216</v>
      </c>
      <c r="M47" s="1">
        <v>223</v>
      </c>
      <c r="N47">
        <v>5.6072340000000001</v>
      </c>
    </row>
    <row r="48" spans="7:14" x14ac:dyDescent="0.3">
      <c r="H48" s="5" t="s">
        <v>9</v>
      </c>
      <c r="I48" s="1">
        <f t="shared" si="22"/>
        <v>1214.059</v>
      </c>
      <c r="J48" s="1">
        <v>2</v>
      </c>
      <c r="K48" s="1">
        <v>104</v>
      </c>
      <c r="L48" s="1">
        <v>199</v>
      </c>
      <c r="M48" s="1">
        <v>106</v>
      </c>
      <c r="N48">
        <v>1.214059</v>
      </c>
    </row>
    <row r="49" spans="8:14" x14ac:dyDescent="0.3">
      <c r="H49" s="5" t="s">
        <v>10</v>
      </c>
      <c r="I49" s="1">
        <f t="shared" si="22"/>
        <v>2597.7779999999998</v>
      </c>
      <c r="J49" s="1">
        <v>4</v>
      </c>
      <c r="K49" s="1">
        <v>104</v>
      </c>
      <c r="L49" s="1">
        <v>120</v>
      </c>
      <c r="M49" s="1">
        <v>106</v>
      </c>
      <c r="N49">
        <v>2.5977779999999999</v>
      </c>
    </row>
    <row r="50" spans="8:14" x14ac:dyDescent="0.3">
      <c r="H50" s="5" t="s">
        <v>11</v>
      </c>
      <c r="I50" s="1">
        <f t="shared" si="22"/>
        <v>2299.3420000000001</v>
      </c>
      <c r="J50" s="1">
        <v>5</v>
      </c>
      <c r="K50" s="1">
        <v>115</v>
      </c>
      <c r="L50" s="1">
        <v>106</v>
      </c>
      <c r="M50" s="1">
        <v>106</v>
      </c>
      <c r="N50">
        <v>2.2993420000000002</v>
      </c>
    </row>
    <row r="51" spans="8:14" x14ac:dyDescent="0.3">
      <c r="H51" s="5" t="s">
        <v>12</v>
      </c>
      <c r="I51" s="1">
        <f t="shared" si="22"/>
        <v>2270.884</v>
      </c>
      <c r="J51" s="1">
        <v>5</v>
      </c>
      <c r="K51" s="1">
        <v>111</v>
      </c>
      <c r="L51" s="1">
        <v>105</v>
      </c>
      <c r="M51" s="1">
        <v>108</v>
      </c>
      <c r="N51">
        <v>2.2708840000000001</v>
      </c>
    </row>
    <row r="52" spans="8:14" x14ac:dyDescent="0.3">
      <c r="H52" s="4" t="s">
        <v>22</v>
      </c>
      <c r="I52" s="7"/>
      <c r="J52" s="7"/>
      <c r="K52" s="7"/>
      <c r="L52" s="7"/>
    </row>
    <row r="53" spans="8:14" x14ac:dyDescent="0.3">
      <c r="H53" s="4" t="s">
        <v>21</v>
      </c>
      <c r="I53" s="7"/>
      <c r="J53" s="7"/>
      <c r="K53" s="7"/>
      <c r="L53" s="7"/>
    </row>
  </sheetData>
  <mergeCells count="7">
    <mergeCell ref="AA1:AF1"/>
    <mergeCell ref="AH1:AL1"/>
    <mergeCell ref="A1:F1"/>
    <mergeCell ref="N1:R1"/>
    <mergeCell ref="H1:L1"/>
    <mergeCell ref="T1:Y1"/>
    <mergeCell ref="H37:L3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Tarjano</dc:creator>
  <cp:lastModifiedBy>Carlos Tarjano</cp:lastModifiedBy>
  <dcterms:created xsi:type="dcterms:W3CDTF">2021-03-06T18:04:48Z</dcterms:created>
  <dcterms:modified xsi:type="dcterms:W3CDTF">2021-03-06T21:33:05Z</dcterms:modified>
</cp:coreProperties>
</file>